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ortfolio works\API\"/>
    </mc:Choice>
  </mc:AlternateContent>
  <xr:revisionPtr revIDLastSave="0" documentId="13_ncr:1_{4C1B6195-1554-4521-BFCC-F4D10C044AFC}" xr6:coauthVersionLast="47" xr6:coauthVersionMax="47" xr10:uidLastSave="{00000000-0000-0000-0000-000000000000}"/>
  <bookViews>
    <workbookView xWindow="-110" yWindow="-110" windowWidth="21820" windowHeight="14020" xr2:uid="{00000000-000D-0000-FFFF-FFFF00000000}"/>
  </bookViews>
  <sheets>
    <sheet name="Assets" sheetId="1" r:id="rId1"/>
    <sheet name="Speculative" sheetId="2" r:id="rId2"/>
    <sheet name="Deposit" sheetId="3" r:id="rId3"/>
    <sheet name="Transactions" sheetId="4" r:id="rId4"/>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3" i="1" l="1"/>
  <c r="H30" i="1"/>
  <c r="H29" i="1"/>
  <c r="H28" i="1"/>
  <c r="H27" i="1"/>
  <c r="H26" i="1"/>
  <c r="H25" i="1"/>
  <c r="K24" i="1"/>
  <c r="I24" i="1"/>
  <c r="K23" i="1"/>
  <c r="I23" i="1"/>
  <c r="K22" i="1"/>
  <c r="I22" i="1"/>
  <c r="K21" i="1"/>
  <c r="I21" i="1"/>
  <c r="H20" i="1"/>
  <c r="I19" i="1"/>
  <c r="K17" i="1"/>
  <c r="I17" i="1"/>
  <c r="K16" i="1"/>
  <c r="I16" i="1"/>
  <c r="K15" i="1"/>
  <c r="I15" i="1"/>
  <c r="K14" i="1"/>
  <c r="I14" i="1"/>
  <c r="K13" i="1"/>
  <c r="I13" i="1"/>
  <c r="K12" i="1"/>
  <c r="H12" i="1"/>
  <c r="I12" i="1" s="1"/>
  <c r="K11" i="1"/>
  <c r="I11" i="1"/>
  <c r="K10" i="1"/>
  <c r="I10" i="1"/>
  <c r="H10" i="1"/>
  <c r="K9" i="1"/>
  <c r="I9" i="1"/>
  <c r="H7" i="1"/>
  <c r="H6" i="1"/>
  <c r="K5" i="1"/>
  <c r="G5" i="1"/>
  <c r="H5" i="1" s="1"/>
  <c r="L34" i="1" l="1"/>
  <c r="I5" i="1"/>
</calcChain>
</file>

<file path=xl/sharedStrings.xml><?xml version="1.0" encoding="utf-8"?>
<sst xmlns="http://schemas.openxmlformats.org/spreadsheetml/2006/main" count="319" uniqueCount="191">
  <si>
    <t>Инфляция рубля: 15%</t>
  </si>
  <si>
    <t>Капитал</t>
  </si>
  <si>
    <t>География актива</t>
  </si>
  <si>
    <t xml:space="preserve">Экономическая позиция </t>
  </si>
  <si>
    <t>Риски</t>
  </si>
  <si>
    <t>Почему</t>
  </si>
  <si>
    <t xml:space="preserve">Наличие страховки </t>
  </si>
  <si>
    <t>Причина добавления в портфель</t>
  </si>
  <si>
    <t>Когда продавать</t>
  </si>
  <si>
    <t>Счет</t>
  </si>
  <si>
    <t>Название</t>
  </si>
  <si>
    <t>Тикер</t>
  </si>
  <si>
    <t xml:space="preserve">Тип инструмента </t>
  </si>
  <si>
    <t xml:space="preserve">Количество </t>
  </si>
  <si>
    <t xml:space="preserve">Цена покупки </t>
  </si>
  <si>
    <t>Цена сейчас</t>
  </si>
  <si>
    <t>Общая стоимость</t>
  </si>
  <si>
    <t>Кэшфлоу(год)</t>
  </si>
  <si>
    <t>Ожидаемые дивиденты/ак</t>
  </si>
  <si>
    <t>Ежемесячный доход</t>
  </si>
  <si>
    <t>Основная страна бизнеса</t>
  </si>
  <si>
    <t>Страна хранения актива</t>
  </si>
  <si>
    <t>Валюта в которой работает актив</t>
  </si>
  <si>
    <t>Макро</t>
  </si>
  <si>
    <t>Микро</t>
  </si>
  <si>
    <t>Ценовые</t>
  </si>
  <si>
    <t>Страновые</t>
  </si>
  <si>
    <t xml:space="preserve">Регуляторные </t>
  </si>
  <si>
    <t>Бизнес-риски</t>
  </si>
  <si>
    <t xml:space="preserve">Кредитные </t>
  </si>
  <si>
    <t xml:space="preserve">Валютные </t>
  </si>
  <si>
    <t>Инфраструк.</t>
  </si>
  <si>
    <t>Инфляция влад.</t>
  </si>
  <si>
    <t xml:space="preserve">Товарные </t>
  </si>
  <si>
    <t>Риски детально</t>
  </si>
  <si>
    <t>Цель актива</t>
  </si>
  <si>
    <t>Huawei(работа)</t>
  </si>
  <si>
    <t>зарплата</t>
  </si>
  <si>
    <t>Китай</t>
  </si>
  <si>
    <t>Россия, банк</t>
  </si>
  <si>
    <t>Рубль</t>
  </si>
  <si>
    <t>Увольнение, снижение курса юаня, отсутсвие индексации</t>
  </si>
  <si>
    <t>Жизнь</t>
  </si>
  <si>
    <t>нет</t>
  </si>
  <si>
    <t>Риск</t>
  </si>
  <si>
    <t>Россети Центр и Приволжье</t>
  </si>
  <si>
    <t>MRKP</t>
  </si>
  <si>
    <t>акции</t>
  </si>
  <si>
    <t>Россия</t>
  </si>
  <si>
    <t>Энергетическая промышленность</t>
  </si>
  <si>
    <t>Региональная электростанция</t>
  </si>
  <si>
    <t>Среднесрочная спекуляция (срок владения около 3-ёх лет)</t>
  </si>
  <si>
    <t>Добавил по совету Кримсона, объективно не оценивал финансовую отчетность, доверился Кримсону. Данный актив представляет собой спекулятивную историю, отыгрывающую вариант повышения тарифых ставок ЖКХ, на фоне переложения недостающих доходов ФНБ или прочих на население. (люди - новая нефть). Исходя из этого тезиса прогнозируется повышение тарифов ЖКХ, цен и вероятно налогов.</t>
  </si>
  <si>
    <t xml:space="preserve">Причин продажи 2: Фиксация тарифов со стороны государства (ограничение все равно скорее всего будет введено, просто по планам правительства где-то через 3-4 года). Отказ от выплаты дивидендов. Либо фиксирование по дате экспирации (3-4 года) </t>
  </si>
  <si>
    <t xml:space="preserve">TMON </t>
  </si>
  <si>
    <t>фонд денежного рынка</t>
  </si>
  <si>
    <t>LSTQ</t>
  </si>
  <si>
    <t xml:space="preserve">Рубль </t>
  </si>
  <si>
    <t xml:space="preserve">валюта </t>
  </si>
  <si>
    <t>ИИС</t>
  </si>
  <si>
    <t>Газпромнефть</t>
  </si>
  <si>
    <t>SIBN</t>
  </si>
  <si>
    <t>Россия. НРД, Т-банк</t>
  </si>
  <si>
    <t>Доллар, рубль</t>
  </si>
  <si>
    <t xml:space="preserve">Добывающая промышленность </t>
  </si>
  <si>
    <t>Нефтедобыча конвенциональная, нефтедобыча на шельфе</t>
  </si>
  <si>
    <t>Нефть</t>
  </si>
  <si>
    <t>Падение цен на нефть, корреляция с рос рынком, санкции США, санкции Китая, падение курса рубля, рост ставки, политические риски в России, большой долг материнской компании и попытка выжать все из дочерней компании, начало выплаты дивидендов в долг, делистинг, нереализация сценария структурного дефицита нефти, любое ограничение экспорта</t>
  </si>
  <si>
    <t xml:space="preserve">Источник дивидендов, ставка на структурный дефицит нефти </t>
  </si>
  <si>
    <t>Опцион пут на акции Газпромнефть на значение 460 (именно на резкий обвал после переговоров)</t>
  </si>
  <si>
    <t>Добавил по совету Кримсона/Антонова. Лучшие дивиденты среди всех нефтяников. Одна из главных гос. Компаний. Второй после лидера. Фактически добавлены вследствии двух факторов 1) Материнская компания не даст пропасть своему главному активу, а материнская компания это фактически главный инструмент внешней политики. 2) Главный менеджер - технократ, повернутый на эффективности, что внушает доверие. Фактически компания попадает под критерии консервативной инвестиции. Финансовая модель надежная, надо очень следить за дивидендными выплатами (чтобы с ними не перебарщивали).  Ждём реализации структурного дефицита нефти, как энергитического ресурса по причине перепотрбления.</t>
  </si>
  <si>
    <t xml:space="preserve">Измнение консервативных принципов, на которых базируется компания, интеграция менджмента Газпрома в Газпромнефть настолько, что неэффктивность управления Газпромнефти становится такой же, как у газрома; "Дивиденды в долг" (превышение дивиденжной политики настолько, что материанская компания начинает передавливать); Полный отказ от нефти, как от ресурса. </t>
  </si>
  <si>
    <t>Не ИИС</t>
  </si>
  <si>
    <t>Роснефть</t>
  </si>
  <si>
    <t>ROSN</t>
  </si>
  <si>
    <t>Россия, НРД. Т-банк</t>
  </si>
  <si>
    <t>Доллар, юань, рубль</t>
  </si>
  <si>
    <t>Падение цен на нефть, корреляция с рос рынком, санкции США, санкции Китая, падение курса рубля, рост ставки, уход Игоря Ивановича Сечина, не хватит финансирования на Восток Ойл, нереализация сценария структурного дефицита нефти, либое ограничение экспорта</t>
  </si>
  <si>
    <t>Опцион пут на акции Роснефти на значение 380 (именно на резкий обвал после переговоров)</t>
  </si>
  <si>
    <t>Главная нефтяная компания России, нефтяной мейджор, одна из главных госкомпаний, владелец компании - близкий друг Путина и ради её спасение готовы даже искуственно увеличить инфляцию, гигантский проект Восток-Ойл, который фактически сделает компанию первой на рынка по добыче нефти, низкая себестоимость добычи нефти (самая низкая в мире), самые большие доказаннеы запасы</t>
  </si>
  <si>
    <t>Измнение консервативных принципов, на которых базируется компания, уход Игоря Ивановича Сечина и при этом нет достойной змены, отказ от нефти как от ресурса.</t>
  </si>
  <si>
    <t xml:space="preserve">Сбербанк </t>
  </si>
  <si>
    <t>SBER</t>
  </si>
  <si>
    <t xml:space="preserve">Россия </t>
  </si>
  <si>
    <t>Рубль, индийские рупии</t>
  </si>
  <si>
    <t xml:space="preserve">Банковская деятельность </t>
  </si>
  <si>
    <t>Российский государственный банк</t>
  </si>
  <si>
    <t>Любой кризис банковского сектора, например после СВО и длительного периода повышения ставки увеличивается количество банкротов и эта амортизационная волна может достичь немного позже, чем просто во время окончания СВО, за счёт того что процедура банкроства занимает несколько лет, а все это время по отчетности все хорошо, странные решения в монетарной политике, продолжение всяких инициатив типа льготной ипотеки</t>
  </si>
  <si>
    <t>Хорошая дивидентная доходность, главный и единственный представитель IT и банковского секторов в России (других не будет)</t>
  </si>
  <si>
    <t>Да, на уровне портфеля (компаниями экспортерами)</t>
  </si>
  <si>
    <t xml:space="preserve">Основной мажоритарий - государство, поэтому структурно ему ничего не грозит, рост дивидендных выплат каждый год, по факту с улучшением экономического состояния России будет улучшаться и банковская составляющая, однако в этом и главный риск. </t>
  </si>
  <si>
    <t xml:space="preserve">Сильный кризис в банковском секторе, резкий и долгосрочный рост инфляции, так как актив не является экспортером и никак не защищён, любое движение из серии военного коммунизма, типа приватизации вкладов граждан (это маловеротяно, однако), приватизация банка - очень спорный момент будет </t>
  </si>
  <si>
    <t>Металлинвест CNY</t>
  </si>
  <si>
    <t>RU000A1057D4</t>
  </si>
  <si>
    <t>облигация</t>
  </si>
  <si>
    <t>Рубль, доллар</t>
  </si>
  <si>
    <t xml:space="preserve">Производство металла </t>
  </si>
  <si>
    <t xml:space="preserve">Железоруда и металлопродукция </t>
  </si>
  <si>
    <t>Долговые риски компаний, но они все +- обладают рейтингом либо АА, либо ААА кредитным, запрет работы в юанях на мосбирже</t>
  </si>
  <si>
    <t>Валютный вклад</t>
  </si>
  <si>
    <t>Страховка</t>
  </si>
  <si>
    <t xml:space="preserve">Были добавлены в качестве складирования юаней на бирже, компании выбраны с хорошим кредитным рейтингом, в дальнейшем вероятно будут переложены в другие продукты для юаня (валютные вклады, облигации) </t>
  </si>
  <si>
    <t xml:space="preserve">Любые долговые риски компаний, связанные с их банкроством, у каждой компании в целом хорошие кредитные рейтинг (А и выше), однако надо следить, продаваться будут в случае если структурно что-то будет происходить с китайской экономикой и больше не будет долгосрочной веры в юань (например очень сильный рост инфляции в Китае) </t>
  </si>
  <si>
    <t>Полюс CNY</t>
  </si>
  <si>
    <t>RU000A1054W1</t>
  </si>
  <si>
    <t>Вертекально-интегрированный золотодобытчик, продавец рудников</t>
  </si>
  <si>
    <t>РУСАЛ CNY</t>
  </si>
  <si>
    <t>RU000A107RH8</t>
  </si>
  <si>
    <t>Производство алюминия и глинозема</t>
  </si>
  <si>
    <t>валюта</t>
  </si>
  <si>
    <t xml:space="preserve">Золото </t>
  </si>
  <si>
    <t>GLDRUB_TOM</t>
  </si>
  <si>
    <t xml:space="preserve">Весь мир </t>
  </si>
  <si>
    <t>Валюта</t>
  </si>
  <si>
    <t>Золото в виде "фьючерса на бирже"</t>
  </si>
  <si>
    <t>Золото</t>
  </si>
  <si>
    <t>Нет доступа к физическому золоту, заморозка активов, нет возможности расчета  и большой налог, низкий курс доллара, падение цен на золото</t>
  </si>
  <si>
    <t>Ставка на инфляцию + валютная диверсификация</t>
  </si>
  <si>
    <t>Золото - главный инструмент сбережения и защиты от девальвации рубля</t>
  </si>
  <si>
    <t>Если будет информация об ограничении и необходимо вывести золото в другом виде</t>
  </si>
  <si>
    <t>CNY</t>
  </si>
  <si>
    <t>CNYRUB</t>
  </si>
  <si>
    <t>Юань, рубль</t>
  </si>
  <si>
    <t>Блокировка оборота юаня на мосбирже</t>
  </si>
  <si>
    <t>Валютная диверсификация</t>
  </si>
  <si>
    <t>Нет</t>
  </si>
  <si>
    <t>Полюс</t>
  </si>
  <si>
    <t>PLZL</t>
  </si>
  <si>
    <t>Падение цен на золото, Сухой Лог может потребовать больше денег, чем нужно, существует риск некорректного отношения со стороныы мажоритария(например нерыночный выкуп акций)</t>
  </si>
  <si>
    <t>Ставка на рост золота</t>
  </si>
  <si>
    <t>Добавление в портфель в качестве неконсервативной инвестиции, но ставкой на росто золота в будущем + реализация проекта Сухой Лог + начала платить дивиденты</t>
  </si>
  <si>
    <t>Если в следующем отчете по Сухому логу будут плохие тенденции, то продать</t>
  </si>
  <si>
    <t>ЗПИФ Парус норд</t>
  </si>
  <si>
    <t>RU000A104KU3</t>
  </si>
  <si>
    <t>фонд</t>
  </si>
  <si>
    <t>Недвижимость</t>
  </si>
  <si>
    <t>Складское помещение, несколько арендаторов, core+</t>
  </si>
  <si>
    <t>Недвига</t>
  </si>
  <si>
    <t xml:space="preserve">Слишком большая вакансия, резкий рост ставки и кредита, резкое падение спроса на невижимость (коммерческую), несоблюдение УК своего же финансовго плана </t>
  </si>
  <si>
    <t>Покупка ком. Недвижимости</t>
  </si>
  <si>
    <t>Ставка на коммерческую недвижимость, хорошая УК и прозрачная финансовая отчетность, большая доходность, больше риска</t>
  </si>
  <si>
    <t xml:space="preserve">Резкий спад интереса к коммерческой недвижимости, аварийное состояние объекта, обман от УК, слишком высокая вакансия </t>
  </si>
  <si>
    <t>ЗПИФ СБЛ</t>
  </si>
  <si>
    <t>Складское помещение, один арендатор, core</t>
  </si>
  <si>
    <t xml:space="preserve">Съезд якорного арендатора, слишком большое повышение комиссии УК или несоблюдение ими своего же финансового плана </t>
  </si>
  <si>
    <t xml:space="preserve">Ставка на коммерческую недвижимость, закрыт кредит, то есть нет риска банкроства, хороший якорный арендатор, меньше доходность </t>
  </si>
  <si>
    <t xml:space="preserve">Резкий спад интереса к коммерческой недвижимости, аварийное состояние объекта, обман от УК, вероятная смена якорного арендатора </t>
  </si>
  <si>
    <t>Фосагро</t>
  </si>
  <si>
    <t>PHOR</t>
  </si>
  <si>
    <t>Россия, Африка, ЕС</t>
  </si>
  <si>
    <t>Евро, доллар, рубль</t>
  </si>
  <si>
    <t>Фосфорные удобрения, фосфорные руды</t>
  </si>
  <si>
    <t>Азотные удобрения</t>
  </si>
  <si>
    <t>Высокий долг, сохранение высокой ставки, нереализация структурного дефицита фосфорных удобрений, продолжение фиксации цен удобрения на внутреннем рынке, любое ограничение экспорта</t>
  </si>
  <si>
    <t>Мировой дефицит в области удобрения, источник дивидендов</t>
  </si>
  <si>
    <t>Совет от Кримсона. Ставка на то, что люди будут есть и что-то выращивать. Самая консервативная и устраивающая меня компания. Сочетает в себе комбинацию хорошего менджмента (семейная компания с крайне влиятельным миноритарием), так ещё и владелец компании стал председателем совета регулирования отрасли в России. Компания стабильно платит дивиденды + расчтет тело. К тому же встроенный хэдж на девальвацию.</t>
  </si>
  <si>
    <t>Отступление от базовых принципов, фиксированная цена на удобрения внутреннем рынке, то есть комбаниция ограничения экспорта из-за санкций + ограничения -&gt; сильный удар по компании</t>
  </si>
  <si>
    <t xml:space="preserve">Валютная диверсификация </t>
  </si>
  <si>
    <t>байбит</t>
  </si>
  <si>
    <t>ETH</t>
  </si>
  <si>
    <t>крипта</t>
  </si>
  <si>
    <t>Весь мир</t>
  </si>
  <si>
    <t>Криптобиржа Bybit</t>
  </si>
  <si>
    <t>USDT</t>
  </si>
  <si>
    <t xml:space="preserve">Крипта </t>
  </si>
  <si>
    <t>Альткоин</t>
  </si>
  <si>
    <t>Ставка на рост крипты</t>
  </si>
  <si>
    <t>Да, величиной позиции</t>
  </si>
  <si>
    <t>Solana</t>
  </si>
  <si>
    <t>BTC</t>
  </si>
  <si>
    <t>Альтернатива золоту</t>
  </si>
  <si>
    <t>ATOM</t>
  </si>
  <si>
    <t>TON</t>
  </si>
  <si>
    <t>Ежемесячный доход:</t>
  </si>
  <si>
    <t>Риски:</t>
  </si>
  <si>
    <t>Ценовые(компания и ее акции могут падать вместе с рынком и вообще акция по любым причинам может стоить сколько угодно)</t>
  </si>
  <si>
    <t>Страновые(в стране жопа и с активом жопа)</t>
  </si>
  <si>
    <t xml:space="preserve">Регуляторные(запретили что-то и компании жопа) </t>
  </si>
  <si>
    <t>Бизнес-риски(как и у любого риска, что-то пойдет не так в операционке)</t>
  </si>
  <si>
    <t>Кредитные риски/риск дефолта(заплятят ли по долгам)</t>
  </si>
  <si>
    <t>Валютные(импортер/экспортер)</t>
  </si>
  <si>
    <t>Инфраструтурные(санкции и прочая хуйня для инвестора в РФ)</t>
  </si>
  <si>
    <t>Товарные(риск сосредоточен на цене определенного коммодика)</t>
  </si>
  <si>
    <t>Шкала</t>
  </si>
  <si>
    <t>Нет риска</t>
  </si>
  <si>
    <t xml:space="preserve">Чуть больше </t>
  </si>
  <si>
    <t>Еще чуть-чуть больше</t>
  </si>
  <si>
    <t>Средний риск</t>
  </si>
  <si>
    <t>Чуть выше среднего</t>
  </si>
  <si>
    <t>Еще чуть-чуть выше</t>
  </si>
  <si>
    <t xml:space="preserve">Риск велик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</si>
</sst>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b/>
      <sz val="10"/>
      <color rgb="FF0C0D0E"/>
      <name val="Var(--ff-mono)"/>
    </font>
  </fonts>
  <fills count="9">
    <fill>
      <patternFill patternType="none"/>
    </fill>
    <fill>
      <patternFill patternType="gray125"/>
    </fill>
    <fill>
      <patternFill patternType="solid">
        <fgColor rgb="FFFFFF99"/>
        <bgColor indexed="64"/>
      </patternFill>
    </fill>
    <fill>
      <patternFill patternType="solid">
        <fgColor rgb="FFFFCC66"/>
        <bgColor indexed="64"/>
      </patternFill>
    </fill>
    <fill>
      <patternFill patternType="solid">
        <fgColor rgb="FFFF9933"/>
        <bgColor indexed="64"/>
      </patternFill>
    </fill>
    <fill>
      <patternFill patternType="solid">
        <fgColor rgb="FFFF3300"/>
        <bgColor indexed="64"/>
      </patternFill>
    </fill>
    <fill>
      <patternFill patternType="solid">
        <fgColor rgb="FF66FF99"/>
        <bgColor indexed="64"/>
      </patternFill>
    </fill>
    <fill>
      <patternFill patternType="solid">
        <fgColor rgb="FFCCFF99"/>
        <bgColor indexed="64"/>
      </patternFill>
    </fill>
    <fill>
      <patternFill patternType="solid">
        <fgColor rgb="FF9900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s>
  <cellStyleXfs count="2">
    <xf numFmtId="0" fontId="0" fillId="0" borderId="0"/>
    <xf numFmtId="0" fontId="2" fillId="0" borderId="0">
      <alignment horizontal="center" vertical="center"/>
    </xf>
  </cellStyleXfs>
  <cellXfs count="54">
    <xf numFmtId="0" fontId="0" fillId="0" borderId="0" xfId="0"/>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0" fillId="0" borderId="0" xfId="0" applyAlignment="1">
      <alignment horizontal="left" vertical="center"/>
    </xf>
    <xf numFmtId="0" fontId="0" fillId="0" borderId="9" xfId="0" applyBorder="1" applyAlignment="1">
      <alignment horizontal="center" vertical="center" wrapText="1"/>
    </xf>
    <xf numFmtId="0" fontId="4" fillId="0" borderId="0" xfId="0" applyFont="1" applyAlignment="1">
      <alignment horizontal="center" vertical="center"/>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xf>
    <xf numFmtId="0" fontId="1" fillId="0" borderId="2" xfId="0" applyFont="1" applyBorder="1" applyAlignment="1">
      <alignment horizontal="center" vertical="center" wrapText="1"/>
    </xf>
    <xf numFmtId="0" fontId="3" fillId="0" borderId="0" xfId="0" applyFont="1" applyAlignment="1">
      <alignment horizontal="left" vertical="center" wrapText="1"/>
    </xf>
    <xf numFmtId="0" fontId="0" fillId="0" borderId="16" xfId="0" applyBorder="1" applyAlignment="1">
      <alignment horizontal="center" vertical="center" wrapText="1"/>
    </xf>
    <xf numFmtId="0" fontId="0" fillId="3" borderId="0" xfId="0" applyFill="1" applyAlignment="1">
      <alignment horizontal="center" vertical="center"/>
    </xf>
    <xf numFmtId="0" fontId="0" fillId="2"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8" borderId="0" xfId="0" applyFill="1" applyAlignment="1">
      <alignment horizontal="center" vertical="center"/>
    </xf>
    <xf numFmtId="0" fontId="0" fillId="5" borderId="0" xfId="0" applyFill="1" applyAlignment="1">
      <alignment horizontal="center" vertical="center"/>
    </xf>
    <xf numFmtId="0" fontId="0" fillId="7" borderId="0" xfId="0" applyFill="1" applyAlignment="1">
      <alignment horizontal="center" vertical="center"/>
    </xf>
    <xf numFmtId="0" fontId="0" fillId="4" borderId="0" xfId="0" applyFill="1" applyAlignment="1">
      <alignment horizontal="center" vertical="center"/>
    </xf>
    <xf numFmtId="0" fontId="0" fillId="7" borderId="0" xfId="0" applyFill="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5" xfId="0" applyBorder="1"/>
    <xf numFmtId="0" fontId="1" fillId="0" borderId="1" xfId="0" applyFont="1" applyBorder="1" applyAlignment="1">
      <alignment horizontal="center" vertical="center"/>
    </xf>
    <xf numFmtId="0" fontId="0" fillId="0" borderId="14" xfId="0" applyBorder="1"/>
    <xf numFmtId="0" fontId="0" fillId="0" borderId="15" xfId="0" applyBorder="1"/>
    <xf numFmtId="0" fontId="0" fillId="4" borderId="0" xfId="0" applyFill="1" applyAlignment="1">
      <alignment horizontal="center" vertical="center"/>
    </xf>
    <xf numFmtId="0" fontId="0" fillId="0" borderId="6" xfId="0" applyBorder="1" applyAlignment="1">
      <alignment horizontal="center" vertical="center"/>
    </xf>
    <xf numFmtId="0" fontId="0" fillId="0" borderId="6" xfId="0" applyBorder="1"/>
    <xf numFmtId="0" fontId="0" fillId="3" borderId="0" xfId="0" applyFill="1" applyAlignment="1">
      <alignment horizontal="center" vertical="center"/>
    </xf>
    <xf numFmtId="0" fontId="0" fillId="0" borderId="10" xfId="0"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0" fillId="6" borderId="0" xfId="0" applyFill="1" applyAlignment="1">
      <alignment horizontal="center" vertical="center"/>
    </xf>
    <xf numFmtId="0" fontId="0" fillId="8" borderId="0" xfId="0" applyFill="1" applyAlignment="1">
      <alignment horizontal="center" vertical="center"/>
    </xf>
    <xf numFmtId="0" fontId="0" fillId="5" borderId="0" xfId="0" applyFill="1" applyAlignment="1">
      <alignment horizontal="center" vertical="center"/>
    </xf>
    <xf numFmtId="0" fontId="1" fillId="0" borderId="2" xfId="0" applyFont="1" applyBorder="1" applyAlignment="1">
      <alignment horizontal="center" vertical="center"/>
    </xf>
    <xf numFmtId="0" fontId="0" fillId="0" borderId="17" xfId="0" applyBorder="1"/>
  </cellXfs>
  <cellStyles count="2">
    <cellStyle name="Normal" xfId="0" builtinId="0"/>
    <cellStyle name="Style 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1"/>
  <sheetViews>
    <sheetView tabSelected="1" topLeftCell="Q10" zoomScale="62" workbookViewId="0">
      <selection activeCell="I14" sqref="I14"/>
    </sheetView>
  </sheetViews>
  <sheetFormatPr defaultColWidth="8.7265625" defaultRowHeight="14.5"/>
  <cols>
    <col min="1" max="1" width="7.54296875" style="27" customWidth="1"/>
    <col min="2" max="2" width="20.7265625" style="27" customWidth="1"/>
    <col min="3" max="3" width="14.26953125" style="27" bestFit="1" customWidth="1"/>
    <col min="4" max="4" width="18.90625" style="27" bestFit="1" customWidth="1"/>
    <col min="5" max="5" width="10.81640625" style="27" bestFit="1" customWidth="1"/>
    <col min="6" max="6" width="12.54296875" style="27" bestFit="1" customWidth="1"/>
    <col min="7" max="7" width="11.26953125" style="27" customWidth="1"/>
    <col min="8" max="8" width="16" style="27" bestFit="1" customWidth="1"/>
    <col min="9" max="9" width="12.54296875" style="27" bestFit="1" customWidth="1"/>
    <col min="10" max="10" width="24.54296875" style="27" bestFit="1" customWidth="1"/>
    <col min="11" max="11" width="19.81640625" style="27" bestFit="1" customWidth="1"/>
    <col min="12" max="14" width="28.81640625" style="27" customWidth="1"/>
    <col min="15" max="15" width="19.7265625" style="23" customWidth="1"/>
    <col min="16" max="16" width="20.90625" style="23" bestFit="1" customWidth="1"/>
    <col min="17" max="17" width="8.6328125" style="27" bestFit="1" customWidth="1"/>
    <col min="18" max="18" width="10.36328125" style="27" bestFit="1" customWidth="1"/>
    <col min="19" max="19" width="12.90625" style="27" bestFit="1" customWidth="1"/>
    <col min="20" max="20" width="12.36328125" style="27" bestFit="1" customWidth="1"/>
    <col min="21" max="21" width="10.453125" style="27" bestFit="1" customWidth="1"/>
    <col min="22" max="22" width="9.6328125" style="27" bestFit="1" customWidth="1"/>
    <col min="23" max="23" width="11.6328125" style="27" bestFit="1" customWidth="1"/>
    <col min="24" max="24" width="14.7265625" style="27" bestFit="1" customWidth="1"/>
    <col min="25" max="25" width="10.1796875" style="27" bestFit="1" customWidth="1"/>
    <col min="26" max="26" width="48.6328125" style="23" bestFit="1" customWidth="1"/>
    <col min="27" max="28" width="28.81640625" style="23" customWidth="1"/>
    <col min="29" max="29" width="39.81640625" style="27" customWidth="1"/>
    <col min="30" max="30" width="35.1796875" style="27" customWidth="1"/>
    <col min="31" max="44" width="8.7265625" style="27" customWidth="1"/>
    <col min="45" max="45" width="20.26953125" style="27" customWidth="1"/>
    <col min="46" max="46" width="22.54296875" style="27" customWidth="1"/>
    <col min="47" max="47" width="8.7265625" style="27" customWidth="1"/>
    <col min="48" max="16384" width="8.7265625" style="27"/>
  </cols>
  <sheetData>
    <row r="1" spans="1:46" ht="15" customHeight="1" thickBot="1"/>
    <row r="2" spans="1:46" ht="26.15" customHeight="1" thickBot="1">
      <c r="B2" s="27" t="s">
        <v>0</v>
      </c>
      <c r="D2" s="39" t="s">
        <v>1</v>
      </c>
      <c r="E2" s="40"/>
      <c r="F2" s="40"/>
      <c r="G2" s="40"/>
      <c r="H2" s="40"/>
      <c r="I2" s="40"/>
      <c r="J2" s="40"/>
      <c r="K2" s="41"/>
      <c r="L2" s="39" t="s">
        <v>2</v>
      </c>
      <c r="M2" s="40"/>
      <c r="N2" s="41"/>
      <c r="O2" s="52" t="s">
        <v>3</v>
      </c>
      <c r="P2" s="53"/>
      <c r="Q2" s="39" t="s">
        <v>4</v>
      </c>
      <c r="R2" s="40"/>
      <c r="S2" s="40"/>
      <c r="T2" s="40"/>
      <c r="U2" s="40"/>
      <c r="V2" s="40"/>
      <c r="W2" s="40"/>
      <c r="X2" s="40"/>
      <c r="Y2" s="40"/>
      <c r="Z2" s="41"/>
      <c r="AA2" s="17" t="s">
        <v>5</v>
      </c>
      <c r="AB2" s="39" t="s">
        <v>6</v>
      </c>
      <c r="AC2" s="39" t="s">
        <v>7</v>
      </c>
      <c r="AD2" s="39" t="s">
        <v>8</v>
      </c>
      <c r="AE2" s="5"/>
      <c r="AF2" s="5"/>
      <c r="AG2" s="5"/>
      <c r="AH2" s="5"/>
      <c r="AI2" s="5"/>
      <c r="AJ2" s="5"/>
      <c r="AK2" s="5"/>
      <c r="AL2" s="5"/>
      <c r="AM2" s="5"/>
    </row>
    <row r="3" spans="1:46" s="23" customFormat="1" ht="43" customHeight="1" thickBot="1">
      <c r="A3" s="23" t="s">
        <v>9</v>
      </c>
      <c r="B3" s="23" t="s">
        <v>10</v>
      </c>
      <c r="C3" s="23" t="s">
        <v>11</v>
      </c>
      <c r="D3" s="12" t="s">
        <v>12</v>
      </c>
      <c r="E3" s="12" t="s">
        <v>13</v>
      </c>
      <c r="F3" s="12" t="s">
        <v>14</v>
      </c>
      <c r="G3" s="12" t="s">
        <v>15</v>
      </c>
      <c r="H3" s="12" t="s">
        <v>16</v>
      </c>
      <c r="I3" s="12" t="s">
        <v>17</v>
      </c>
      <c r="J3" s="13" t="s">
        <v>18</v>
      </c>
      <c r="K3" s="14" t="s">
        <v>19</v>
      </c>
      <c r="L3" s="15" t="s">
        <v>20</v>
      </c>
      <c r="M3" s="9" t="s">
        <v>21</v>
      </c>
      <c r="N3" s="15" t="s">
        <v>22</v>
      </c>
      <c r="O3" s="9" t="s">
        <v>23</v>
      </c>
      <c r="P3" s="9" t="s">
        <v>24</v>
      </c>
      <c r="Q3" s="9" t="s">
        <v>25</v>
      </c>
      <c r="R3" s="9" t="s">
        <v>26</v>
      </c>
      <c r="S3" s="9" t="s">
        <v>27</v>
      </c>
      <c r="T3" s="9" t="s">
        <v>28</v>
      </c>
      <c r="U3" s="9" t="s">
        <v>29</v>
      </c>
      <c r="V3" s="9" t="s">
        <v>30</v>
      </c>
      <c r="W3" s="9" t="s">
        <v>31</v>
      </c>
      <c r="X3" s="9" t="s">
        <v>32</v>
      </c>
      <c r="Y3" s="9" t="s">
        <v>33</v>
      </c>
      <c r="Z3" s="9" t="s">
        <v>34</v>
      </c>
      <c r="AA3" s="15" t="s">
        <v>35</v>
      </c>
      <c r="AB3" s="46"/>
      <c r="AC3" s="46"/>
      <c r="AD3" s="46"/>
    </row>
    <row r="4" spans="1:46" ht="34" customHeight="1">
      <c r="B4" s="27" t="s">
        <v>36</v>
      </c>
      <c r="D4" s="1" t="s">
        <v>37</v>
      </c>
      <c r="E4" s="2"/>
      <c r="F4" s="2"/>
      <c r="G4" s="2"/>
      <c r="H4" s="2"/>
      <c r="I4" s="2">
        <v>100000</v>
      </c>
      <c r="J4" s="2"/>
      <c r="K4" s="28"/>
      <c r="L4" s="27" t="s">
        <v>38</v>
      </c>
      <c r="M4" s="27" t="s">
        <v>39</v>
      </c>
      <c r="N4" s="27" t="s">
        <v>40</v>
      </c>
      <c r="Q4" s="21">
        <v>1</v>
      </c>
      <c r="R4" s="31">
        <v>2</v>
      </c>
      <c r="S4" s="21">
        <v>1</v>
      </c>
      <c r="T4" s="21">
        <v>1</v>
      </c>
      <c r="U4" s="21">
        <v>1</v>
      </c>
      <c r="V4" s="22">
        <v>3</v>
      </c>
      <c r="W4" s="21">
        <v>1</v>
      </c>
      <c r="X4" s="22">
        <v>3</v>
      </c>
      <c r="Y4" s="23"/>
      <c r="Z4" s="24" t="s">
        <v>41</v>
      </c>
      <c r="AA4" s="23" t="s">
        <v>42</v>
      </c>
      <c r="AB4" s="23" t="s">
        <v>43</v>
      </c>
      <c r="AC4" s="23"/>
      <c r="AD4" s="23"/>
      <c r="AS4" s="6"/>
      <c r="AT4" s="10"/>
    </row>
    <row r="5" spans="1:46" ht="168" customHeight="1">
      <c r="A5" s="27" t="s">
        <v>44</v>
      </c>
      <c r="B5" s="23" t="s">
        <v>45</v>
      </c>
      <c r="C5" s="27" t="s">
        <v>46</v>
      </c>
      <c r="D5" s="26" t="s">
        <v>47</v>
      </c>
      <c r="E5" s="27">
        <v>0</v>
      </c>
      <c r="F5" s="27">
        <v>0.46310000000000001</v>
      </c>
      <c r="G5" s="27" t="e">
        <f>SUBSTITUTE(_xlfn.FILTERXML(_xlfn.WEBSERVICE("https://iss.moex.com/iss/engines/stock/markets/shares/boards/TQBR/securities.xml?iss.meta=off&amp;iss.only=marketdata&amp;marketdata.columns=SECID,LAST"),"//document//data//rows//row[@SECID='"&amp;C5&amp;"']/@LAST"),".",".")</f>
        <v>#VALUE!</v>
      </c>
      <c r="H5" s="27" t="e">
        <f>E5*G5</f>
        <v>#VALUE!</v>
      </c>
      <c r="I5" s="27" t="e">
        <f>J5*E5+H5-E5*F5</f>
        <v>#VALUE!</v>
      </c>
      <c r="J5" s="27">
        <v>5.0215000000000003E-2</v>
      </c>
      <c r="K5" s="28">
        <f>J5*E5/12</f>
        <v>0</v>
      </c>
      <c r="L5" s="27" t="s">
        <v>48</v>
      </c>
      <c r="M5" s="27" t="s">
        <v>39</v>
      </c>
      <c r="N5" s="27" t="s">
        <v>40</v>
      </c>
      <c r="O5" s="23" t="s">
        <v>49</v>
      </c>
      <c r="P5" s="23" t="s">
        <v>50</v>
      </c>
      <c r="Q5" s="23"/>
      <c r="R5" s="23"/>
      <c r="S5" s="23"/>
      <c r="T5" s="23"/>
      <c r="U5" s="23"/>
      <c r="V5" s="23"/>
      <c r="W5" s="23"/>
      <c r="X5" s="23"/>
      <c r="Y5" s="23"/>
      <c r="Z5" s="24"/>
      <c r="AA5" s="23" t="s">
        <v>51</v>
      </c>
      <c r="AB5" s="23" t="s">
        <v>43</v>
      </c>
      <c r="AC5" s="23" t="s">
        <v>52</v>
      </c>
      <c r="AD5" s="23" t="s">
        <v>53</v>
      </c>
      <c r="AS5" s="6"/>
      <c r="AT5" s="10"/>
    </row>
    <row r="6" spans="1:46" ht="62.25" customHeight="1">
      <c r="B6" s="27" t="s">
        <v>40</v>
      </c>
      <c r="C6" s="27" t="s">
        <v>54</v>
      </c>
      <c r="D6" s="25" t="s">
        <v>55</v>
      </c>
      <c r="E6" s="27">
        <v>278</v>
      </c>
      <c r="F6" s="27">
        <v>149.6</v>
      </c>
      <c r="G6" s="27">
        <v>150.25</v>
      </c>
      <c r="H6" s="27">
        <f>E6*G6</f>
        <v>41769.5</v>
      </c>
      <c r="K6" s="28"/>
      <c r="Q6" s="23"/>
      <c r="R6" s="23"/>
      <c r="S6" s="23"/>
      <c r="T6" s="23"/>
      <c r="U6" s="23"/>
      <c r="V6" s="23"/>
      <c r="W6" s="23"/>
      <c r="X6" s="23"/>
      <c r="Y6" s="23"/>
      <c r="Z6" s="24"/>
      <c r="AC6" s="23"/>
      <c r="AD6" s="23"/>
      <c r="AS6" s="6"/>
      <c r="AT6" s="10"/>
    </row>
    <row r="7" spans="1:46" ht="62.25" customHeight="1">
      <c r="B7" s="27" t="s">
        <v>40</v>
      </c>
      <c r="C7" s="27" t="s">
        <v>56</v>
      </c>
      <c r="D7" s="25" t="s">
        <v>55</v>
      </c>
      <c r="E7" s="27">
        <v>56495</v>
      </c>
      <c r="F7" s="27">
        <v>1.8882000000000001</v>
      </c>
      <c r="G7" s="27">
        <v>1.8954</v>
      </c>
      <c r="H7" s="27">
        <f>E7*G7</f>
        <v>107080.62299999999</v>
      </c>
      <c r="K7" s="28"/>
      <c r="Q7" s="23"/>
      <c r="R7" s="23"/>
      <c r="S7" s="23"/>
      <c r="T7" s="23"/>
      <c r="U7" s="23"/>
      <c r="V7" s="23"/>
      <c r="W7" s="23"/>
      <c r="X7" s="23"/>
      <c r="Y7" s="23"/>
      <c r="Z7" s="24"/>
      <c r="AC7" s="23"/>
      <c r="AD7" s="23"/>
      <c r="AS7" s="6"/>
      <c r="AT7" s="10"/>
    </row>
    <row r="8" spans="1:46" ht="62.25" customHeight="1">
      <c r="B8" s="27" t="s">
        <v>57</v>
      </c>
      <c r="D8" s="25" t="s">
        <v>58</v>
      </c>
      <c r="H8" s="27">
        <v>20000</v>
      </c>
      <c r="K8" s="28"/>
      <c r="Q8" s="23"/>
      <c r="R8" s="23"/>
      <c r="S8" s="23"/>
      <c r="T8" s="23"/>
      <c r="U8" s="23"/>
      <c r="V8" s="23"/>
      <c r="W8" s="23"/>
      <c r="X8" s="23"/>
      <c r="Y8" s="23"/>
      <c r="Z8" s="24"/>
      <c r="AC8" s="23"/>
      <c r="AD8" s="23"/>
      <c r="AS8" s="6"/>
      <c r="AT8" s="10"/>
    </row>
    <row r="9" spans="1:46" ht="130" customHeight="1">
      <c r="A9" s="27" t="s">
        <v>59</v>
      </c>
      <c r="B9" s="34" t="s">
        <v>60</v>
      </c>
      <c r="C9" s="43" t="s">
        <v>61</v>
      </c>
      <c r="D9" s="26" t="s">
        <v>47</v>
      </c>
      <c r="E9" s="27">
        <v>943</v>
      </c>
      <c r="F9" s="27">
        <v>566.44204665959705</v>
      </c>
      <c r="G9" s="34">
        <v>481.85</v>
      </c>
      <c r="H9" s="27">
        <v>454384.55</v>
      </c>
      <c r="I9" s="27">
        <f>J9*E9+H9-E9*F9</f>
        <v>-38278.299999999988</v>
      </c>
      <c r="J9" s="34">
        <v>44</v>
      </c>
      <c r="K9" s="28">
        <f>J9*E9/12</f>
        <v>3457.6666666666665</v>
      </c>
      <c r="L9" s="47" t="s">
        <v>48</v>
      </c>
      <c r="M9" s="34" t="s">
        <v>62</v>
      </c>
      <c r="N9" s="34" t="s">
        <v>63</v>
      </c>
      <c r="O9" s="36" t="s">
        <v>64</v>
      </c>
      <c r="P9" s="36" t="s">
        <v>65</v>
      </c>
      <c r="Q9" s="42">
        <v>3</v>
      </c>
      <c r="R9" s="51">
        <v>4</v>
      </c>
      <c r="S9" s="33">
        <v>2</v>
      </c>
      <c r="T9" s="42">
        <v>3</v>
      </c>
      <c r="U9" s="35">
        <v>1</v>
      </c>
      <c r="V9" s="45">
        <v>4</v>
      </c>
      <c r="W9" s="35">
        <v>1</v>
      </c>
      <c r="X9" s="49">
        <v>3</v>
      </c>
      <c r="Y9" s="36" t="s">
        <v>66</v>
      </c>
      <c r="Z9" s="48" t="s">
        <v>67</v>
      </c>
      <c r="AA9" s="37" t="s">
        <v>68</v>
      </c>
      <c r="AB9" s="36" t="s">
        <v>69</v>
      </c>
      <c r="AC9" s="36" t="s">
        <v>70</v>
      </c>
      <c r="AD9" s="36" t="s">
        <v>71</v>
      </c>
      <c r="AS9" s="6"/>
      <c r="AT9" s="10"/>
    </row>
    <row r="10" spans="1:46" ht="138" customHeight="1">
      <c r="A10" s="27" t="s">
        <v>72</v>
      </c>
      <c r="B10" s="34"/>
      <c r="C10" s="44"/>
      <c r="D10" s="26" t="s">
        <v>47</v>
      </c>
      <c r="E10" s="27">
        <v>467</v>
      </c>
      <c r="F10" s="27">
        <v>554.59</v>
      </c>
      <c r="G10" s="34"/>
      <c r="H10" s="27">
        <f>E10*G9</f>
        <v>225023.95</v>
      </c>
      <c r="I10" s="27">
        <f>J9*E10+H10-E10*F10</f>
        <v>-13421.580000000016</v>
      </c>
      <c r="J10" s="34"/>
      <c r="K10" s="28">
        <f>J9*E10/12</f>
        <v>1712.3333333333333</v>
      </c>
      <c r="L10" s="38"/>
      <c r="M10" s="34"/>
      <c r="N10" s="34"/>
      <c r="O10" s="36"/>
      <c r="P10" s="36"/>
      <c r="Q10" s="34"/>
      <c r="R10" s="34"/>
      <c r="S10" s="34"/>
      <c r="T10" s="34"/>
      <c r="U10" s="34"/>
      <c r="V10" s="34"/>
      <c r="W10" s="34"/>
      <c r="X10" s="34"/>
      <c r="Y10" s="34"/>
      <c r="Z10" s="44"/>
      <c r="AA10" s="38"/>
      <c r="AB10" s="36"/>
      <c r="AC10" s="34"/>
      <c r="AD10" s="34"/>
    </row>
    <row r="11" spans="1:46" ht="148" customHeight="1">
      <c r="A11" s="27" t="s">
        <v>59</v>
      </c>
      <c r="B11" s="34" t="s">
        <v>73</v>
      </c>
      <c r="C11" s="43" t="s">
        <v>74</v>
      </c>
      <c r="D11" s="26" t="s">
        <v>47</v>
      </c>
      <c r="E11" s="27">
        <v>1067</v>
      </c>
      <c r="F11" s="27">
        <v>495.43441424554828</v>
      </c>
      <c r="G11" s="34">
        <v>392.8</v>
      </c>
      <c r="H11" s="27">
        <v>419117.6</v>
      </c>
      <c r="I11" s="27">
        <f>J11*E11+H11-E11*F11</f>
        <v>-81768.920000000042</v>
      </c>
      <c r="J11" s="34">
        <v>26</v>
      </c>
      <c r="K11" s="28">
        <f>J11*E11/12</f>
        <v>2311.8333333333335</v>
      </c>
      <c r="L11" s="47" t="s">
        <v>48</v>
      </c>
      <c r="M11" s="34" t="s">
        <v>75</v>
      </c>
      <c r="N11" s="34" t="s">
        <v>76</v>
      </c>
      <c r="O11" s="36" t="s">
        <v>64</v>
      </c>
      <c r="P11" s="36" t="s">
        <v>65</v>
      </c>
      <c r="Q11" s="50">
        <v>3</v>
      </c>
      <c r="R11" s="51">
        <v>4</v>
      </c>
      <c r="S11" s="33">
        <v>2</v>
      </c>
      <c r="T11" s="42">
        <v>4</v>
      </c>
      <c r="U11" s="35">
        <v>1</v>
      </c>
      <c r="V11" s="45">
        <v>4</v>
      </c>
      <c r="W11" s="35">
        <v>1</v>
      </c>
      <c r="X11" s="49">
        <v>3</v>
      </c>
      <c r="Y11" s="36" t="s">
        <v>66</v>
      </c>
      <c r="Z11" s="48" t="s">
        <v>77</v>
      </c>
      <c r="AA11" s="37" t="s">
        <v>68</v>
      </c>
      <c r="AB11" s="36" t="s">
        <v>78</v>
      </c>
      <c r="AC11" s="36" t="s">
        <v>79</v>
      </c>
      <c r="AD11" s="36" t="s">
        <v>80</v>
      </c>
      <c r="AS11" s="6"/>
      <c r="AT11" s="10"/>
    </row>
    <row r="12" spans="1:46" ht="127" customHeight="1">
      <c r="A12" s="27" t="s">
        <v>72</v>
      </c>
      <c r="B12" s="34"/>
      <c r="C12" s="44"/>
      <c r="D12" s="26" t="s">
        <v>47</v>
      </c>
      <c r="E12" s="27">
        <v>598</v>
      </c>
      <c r="F12" s="27">
        <v>490.51</v>
      </c>
      <c r="G12" s="34"/>
      <c r="H12" s="27">
        <f>G11*E12</f>
        <v>234894.4</v>
      </c>
      <c r="I12" s="27">
        <f>J11*E12+H12-E12*F12</f>
        <v>-42882.579999999987</v>
      </c>
      <c r="J12" s="34"/>
      <c r="K12" s="28">
        <f>J11*E12/12</f>
        <v>1295.6666666666667</v>
      </c>
      <c r="L12" s="38"/>
      <c r="M12" s="34"/>
      <c r="N12" s="34"/>
      <c r="O12" s="36"/>
      <c r="P12" s="36"/>
      <c r="Q12" s="34"/>
      <c r="R12" s="34"/>
      <c r="S12" s="34"/>
      <c r="T12" s="34"/>
      <c r="U12" s="34"/>
      <c r="V12" s="34"/>
      <c r="W12" s="34"/>
      <c r="X12" s="34"/>
      <c r="Y12" s="34"/>
      <c r="Z12" s="44"/>
      <c r="AA12" s="38"/>
      <c r="AB12" s="36"/>
      <c r="AC12" s="34"/>
      <c r="AD12" s="34"/>
    </row>
    <row r="13" spans="1:46" ht="142" customHeight="1">
      <c r="A13" s="27" t="s">
        <v>59</v>
      </c>
      <c r="B13" s="27" t="s">
        <v>81</v>
      </c>
      <c r="C13" s="27" t="s">
        <v>82</v>
      </c>
      <c r="D13" s="26" t="s">
        <v>47</v>
      </c>
      <c r="E13" s="27">
        <v>648</v>
      </c>
      <c r="F13" s="27">
        <v>294.42</v>
      </c>
      <c r="G13" s="27">
        <v>297.64999999999998</v>
      </c>
      <c r="H13" s="27">
        <v>192877.2</v>
      </c>
      <c r="I13" s="27">
        <f>J13*E13+H13-E13*F13</f>
        <v>24669.360000000015</v>
      </c>
      <c r="J13" s="27">
        <v>34.840000000000003</v>
      </c>
      <c r="K13" s="28">
        <f>J13*E13/12</f>
        <v>1881.3600000000004</v>
      </c>
      <c r="L13" s="27" t="s">
        <v>83</v>
      </c>
      <c r="M13" s="27" t="s">
        <v>75</v>
      </c>
      <c r="N13" s="27" t="s">
        <v>84</v>
      </c>
      <c r="O13" s="23" t="s">
        <v>85</v>
      </c>
      <c r="P13" s="23" t="s">
        <v>86</v>
      </c>
      <c r="Q13" s="29">
        <v>4</v>
      </c>
      <c r="R13" s="29">
        <v>4</v>
      </c>
      <c r="S13" s="31">
        <v>2</v>
      </c>
      <c r="T13" s="31">
        <v>2</v>
      </c>
      <c r="U13" s="21">
        <v>1</v>
      </c>
      <c r="V13" s="29">
        <v>5</v>
      </c>
      <c r="W13" s="21">
        <v>1</v>
      </c>
      <c r="X13" s="31">
        <v>2</v>
      </c>
      <c r="Y13" s="23"/>
      <c r="Z13" s="24" t="s">
        <v>87</v>
      </c>
      <c r="AA13" s="23" t="s">
        <v>88</v>
      </c>
      <c r="AB13" s="23" t="s">
        <v>89</v>
      </c>
      <c r="AC13" s="23" t="s">
        <v>90</v>
      </c>
      <c r="AD13" s="23" t="s">
        <v>91</v>
      </c>
      <c r="AS13" s="6"/>
      <c r="AT13" s="10"/>
    </row>
    <row r="14" spans="1:46" ht="68.5" customHeight="1">
      <c r="A14" s="27" t="s">
        <v>59</v>
      </c>
      <c r="B14" s="27" t="s">
        <v>92</v>
      </c>
      <c r="C14" s="27" t="s">
        <v>93</v>
      </c>
      <c r="D14" s="26" t="s">
        <v>94</v>
      </c>
      <c r="E14" s="27">
        <v>5</v>
      </c>
      <c r="F14" s="27">
        <v>931.4</v>
      </c>
      <c r="G14" s="27">
        <v>961.98400000000004</v>
      </c>
      <c r="H14" s="27">
        <v>53778.493575</v>
      </c>
      <c r="I14" s="27">
        <f>J14*E14+H14-E14*F14</f>
        <v>49305.893575000002</v>
      </c>
      <c r="J14" s="27">
        <v>36.880000000000003</v>
      </c>
      <c r="K14" s="28">
        <f>J14*L33*E14/12</f>
        <v>173.64333333333335</v>
      </c>
      <c r="L14" s="47" t="s">
        <v>48</v>
      </c>
      <c r="M14" s="34" t="s">
        <v>75</v>
      </c>
      <c r="N14" s="27" t="s">
        <v>95</v>
      </c>
      <c r="O14" s="23" t="s">
        <v>96</v>
      </c>
      <c r="P14" s="23" t="s">
        <v>97</v>
      </c>
      <c r="Q14" s="31">
        <v>2</v>
      </c>
      <c r="R14" s="22">
        <v>3</v>
      </c>
      <c r="S14" s="31">
        <v>2</v>
      </c>
      <c r="T14" s="22">
        <v>3</v>
      </c>
      <c r="U14" s="31">
        <v>2</v>
      </c>
      <c r="V14" s="31">
        <v>1</v>
      </c>
      <c r="W14" s="22">
        <v>3</v>
      </c>
      <c r="X14" s="20">
        <v>4</v>
      </c>
      <c r="Y14" s="23"/>
      <c r="Z14" s="48" t="s">
        <v>98</v>
      </c>
      <c r="AA14" s="23" t="s">
        <v>99</v>
      </c>
      <c r="AB14" s="23" t="s">
        <v>100</v>
      </c>
      <c r="AC14" s="36" t="s">
        <v>101</v>
      </c>
      <c r="AD14" s="36" t="s">
        <v>102</v>
      </c>
      <c r="AS14" s="6"/>
      <c r="AT14" s="10"/>
    </row>
    <row r="15" spans="1:46" ht="78.650000000000006" customHeight="1">
      <c r="A15" s="27" t="s">
        <v>59</v>
      </c>
      <c r="B15" s="27" t="s">
        <v>103</v>
      </c>
      <c r="C15" s="27" t="s">
        <v>104</v>
      </c>
      <c r="D15" s="26" t="s">
        <v>94</v>
      </c>
      <c r="E15" s="27">
        <v>10</v>
      </c>
      <c r="F15" s="27">
        <v>923.28210000000001</v>
      </c>
      <c r="G15" s="27">
        <v>960.303</v>
      </c>
      <c r="H15" s="27">
        <v>107622.56972499999</v>
      </c>
      <c r="I15" s="27">
        <f>(G15*E15-E15*F15+J15)*L33</f>
        <v>4611.6317000000081</v>
      </c>
      <c r="J15" s="27">
        <v>37.9</v>
      </c>
      <c r="K15" s="28">
        <f>J15*L33*E15/12</f>
        <v>356.89166666666671</v>
      </c>
      <c r="L15" s="38"/>
      <c r="M15" s="34"/>
      <c r="N15" s="27" t="s">
        <v>95</v>
      </c>
      <c r="O15" s="23" t="s">
        <v>64</v>
      </c>
      <c r="P15" s="23" t="s">
        <v>105</v>
      </c>
      <c r="Q15" s="31">
        <v>2</v>
      </c>
      <c r="R15" s="22">
        <v>3</v>
      </c>
      <c r="S15" s="31">
        <v>2</v>
      </c>
      <c r="T15" s="22">
        <v>3</v>
      </c>
      <c r="U15" s="31">
        <v>2</v>
      </c>
      <c r="V15" s="31">
        <v>1</v>
      </c>
      <c r="W15" s="22">
        <v>3</v>
      </c>
      <c r="X15" s="20">
        <v>4</v>
      </c>
      <c r="Y15" s="23"/>
      <c r="Z15" s="44"/>
      <c r="AA15" s="23" t="s">
        <v>99</v>
      </c>
      <c r="AB15" s="23" t="s">
        <v>100</v>
      </c>
      <c r="AC15" s="34"/>
      <c r="AD15" s="34"/>
      <c r="AS15" s="6"/>
      <c r="AT15" s="10"/>
    </row>
    <row r="16" spans="1:46" ht="71" customHeight="1">
      <c r="A16" s="27" t="s">
        <v>72</v>
      </c>
      <c r="B16" s="27" t="s">
        <v>103</v>
      </c>
      <c r="C16" s="27" t="s">
        <v>104</v>
      </c>
      <c r="D16" s="26" t="s">
        <v>94</v>
      </c>
      <c r="E16" s="27">
        <v>10</v>
      </c>
      <c r="F16" s="27">
        <v>923.28210000000001</v>
      </c>
      <c r="G16" s="27">
        <v>960.303</v>
      </c>
      <c r="H16" s="27">
        <v>107622.56972499999</v>
      </c>
      <c r="I16" s="27">
        <f>(G16*E16-E16*F16+J16)*L33</f>
        <v>4611.6317000000081</v>
      </c>
      <c r="J16" s="27">
        <v>37.9</v>
      </c>
      <c r="K16" s="28">
        <f>J16*L33*E16/12</f>
        <v>356.89166666666671</v>
      </c>
      <c r="L16" s="38"/>
      <c r="M16" s="34"/>
      <c r="N16" s="27" t="s">
        <v>63</v>
      </c>
      <c r="O16" s="23" t="s">
        <v>64</v>
      </c>
      <c r="P16" s="23" t="s">
        <v>105</v>
      </c>
      <c r="Q16" s="31">
        <v>2</v>
      </c>
      <c r="R16" s="22">
        <v>3</v>
      </c>
      <c r="S16" s="31">
        <v>2</v>
      </c>
      <c r="T16" s="22">
        <v>3</v>
      </c>
      <c r="U16" s="31">
        <v>2</v>
      </c>
      <c r="V16" s="31">
        <v>1</v>
      </c>
      <c r="W16" s="22">
        <v>3</v>
      </c>
      <c r="X16" s="20">
        <v>4</v>
      </c>
      <c r="Y16" s="23"/>
      <c r="Z16" s="44"/>
      <c r="AA16" s="23" t="s">
        <v>99</v>
      </c>
      <c r="AB16" s="23" t="s">
        <v>100</v>
      </c>
      <c r="AC16" s="34"/>
      <c r="AD16" s="34"/>
    </row>
    <row r="17" spans="1:46" ht="71.5" customHeight="1">
      <c r="A17" s="27" t="s">
        <v>59</v>
      </c>
      <c r="B17" s="27" t="s">
        <v>106</v>
      </c>
      <c r="C17" s="27" t="s">
        <v>107</v>
      </c>
      <c r="D17" s="26" t="s">
        <v>94</v>
      </c>
      <c r="E17" s="27">
        <v>6</v>
      </c>
      <c r="F17" s="27">
        <v>976.51700000000005</v>
      </c>
      <c r="G17" s="27">
        <v>1001.034</v>
      </c>
      <c r="H17" s="27">
        <v>67262.963690000004</v>
      </c>
      <c r="I17" s="27">
        <f>(G17*E17-E17*F17+J17)*L33</f>
        <v>1864.5225999999884</v>
      </c>
      <c r="J17" s="27">
        <v>17.899999999999999</v>
      </c>
      <c r="K17" s="28">
        <f>J17*L33*E17/12</f>
        <v>101.13500000000001</v>
      </c>
      <c r="L17" s="38"/>
      <c r="M17" s="34"/>
      <c r="N17" s="27" t="s">
        <v>40</v>
      </c>
      <c r="O17" s="23" t="s">
        <v>96</v>
      </c>
      <c r="P17" s="23" t="s">
        <v>108</v>
      </c>
      <c r="Q17" s="31">
        <v>2</v>
      </c>
      <c r="R17" s="22">
        <v>3</v>
      </c>
      <c r="S17" s="31">
        <v>2</v>
      </c>
      <c r="T17" s="22">
        <v>3</v>
      </c>
      <c r="U17" s="20">
        <v>4</v>
      </c>
      <c r="V17" s="31">
        <v>1</v>
      </c>
      <c r="W17" s="22">
        <v>3</v>
      </c>
      <c r="X17" s="20">
        <v>4</v>
      </c>
      <c r="Y17" s="23"/>
      <c r="Z17" s="44"/>
      <c r="AA17" s="23" t="s">
        <v>99</v>
      </c>
      <c r="AB17" s="23" t="s">
        <v>100</v>
      </c>
      <c r="AC17" s="34"/>
      <c r="AD17" s="34"/>
      <c r="AS17" s="6"/>
      <c r="AT17" s="10"/>
    </row>
    <row r="18" spans="1:46" ht="71.5" customHeight="1">
      <c r="A18" s="27" t="s">
        <v>59</v>
      </c>
      <c r="B18" s="27" t="s">
        <v>40</v>
      </c>
      <c r="D18" s="26" t="s">
        <v>109</v>
      </c>
      <c r="E18" s="27">
        <v>200</v>
      </c>
      <c r="H18" s="27">
        <v>200</v>
      </c>
      <c r="K18" s="28"/>
      <c r="Q18" s="21">
        <v>1</v>
      </c>
      <c r="R18" s="20">
        <v>4</v>
      </c>
      <c r="S18" s="31">
        <v>2</v>
      </c>
      <c r="T18" s="21">
        <v>1</v>
      </c>
      <c r="U18" s="21">
        <v>1</v>
      </c>
      <c r="V18" s="29">
        <v>7</v>
      </c>
      <c r="W18" s="21">
        <v>1</v>
      </c>
      <c r="X18" s="31">
        <v>2</v>
      </c>
      <c r="Y18" s="23"/>
      <c r="Z18" s="24"/>
      <c r="AC18" s="23"/>
      <c r="AD18" s="23"/>
      <c r="AS18" s="6"/>
      <c r="AT18" s="10"/>
    </row>
    <row r="19" spans="1:46" ht="93.5" customHeight="1">
      <c r="A19" s="27" t="s">
        <v>59</v>
      </c>
      <c r="B19" s="27" t="s">
        <v>110</v>
      </c>
      <c r="C19" s="27" t="s">
        <v>111</v>
      </c>
      <c r="D19" s="26" t="s">
        <v>109</v>
      </c>
      <c r="E19" s="27">
        <v>30</v>
      </c>
      <c r="F19" s="27">
        <v>7910.7</v>
      </c>
      <c r="G19" s="27">
        <v>11538.8</v>
      </c>
      <c r="H19" s="27">
        <v>346164</v>
      </c>
      <c r="I19" s="27">
        <f>J19*E19+H19-E19*F19</f>
        <v>108843</v>
      </c>
      <c r="K19" s="28"/>
      <c r="L19" s="27" t="s">
        <v>112</v>
      </c>
      <c r="M19" s="27" t="s">
        <v>48</v>
      </c>
      <c r="N19" s="27" t="s">
        <v>63</v>
      </c>
      <c r="O19" s="23" t="s">
        <v>113</v>
      </c>
      <c r="P19" s="23" t="s">
        <v>114</v>
      </c>
      <c r="Q19" s="22">
        <v>3</v>
      </c>
      <c r="R19" s="21">
        <v>1</v>
      </c>
      <c r="S19" s="31">
        <v>2</v>
      </c>
      <c r="T19" s="21">
        <v>1</v>
      </c>
      <c r="U19" s="21">
        <v>1</v>
      </c>
      <c r="V19" s="21">
        <v>1</v>
      </c>
      <c r="W19" s="21">
        <v>1</v>
      </c>
      <c r="X19" s="21">
        <v>1</v>
      </c>
      <c r="Y19" s="23" t="s">
        <v>115</v>
      </c>
      <c r="Z19" s="24" t="s">
        <v>116</v>
      </c>
      <c r="AA19" s="23" t="s">
        <v>117</v>
      </c>
      <c r="AB19" s="23" t="s">
        <v>100</v>
      </c>
      <c r="AC19" s="23" t="s">
        <v>118</v>
      </c>
      <c r="AD19" s="23" t="s">
        <v>119</v>
      </c>
      <c r="AS19" s="6"/>
      <c r="AT19" s="10"/>
    </row>
    <row r="20" spans="1:46" ht="66" customHeight="1">
      <c r="A20" s="27" t="s">
        <v>59</v>
      </c>
      <c r="B20" s="27" t="s">
        <v>120</v>
      </c>
      <c r="C20" s="27" t="s">
        <v>121</v>
      </c>
      <c r="D20" s="26" t="s">
        <v>109</v>
      </c>
      <c r="E20" s="27">
        <v>1030.32</v>
      </c>
      <c r="F20" s="27">
        <v>11.2</v>
      </c>
      <c r="G20" s="27">
        <v>11</v>
      </c>
      <c r="H20" s="27">
        <f>E20*G20</f>
        <v>11333.519999999999</v>
      </c>
      <c r="K20" s="28"/>
      <c r="L20" s="27" t="s">
        <v>38</v>
      </c>
      <c r="M20" s="27" t="s">
        <v>48</v>
      </c>
      <c r="N20" s="27" t="s">
        <v>122</v>
      </c>
      <c r="O20" s="23" t="s">
        <v>113</v>
      </c>
      <c r="P20" s="23" t="s">
        <v>113</v>
      </c>
      <c r="Q20" s="21">
        <v>1</v>
      </c>
      <c r="R20" s="20">
        <v>4</v>
      </c>
      <c r="S20" s="31">
        <v>2</v>
      </c>
      <c r="T20" s="21">
        <v>1</v>
      </c>
      <c r="U20" s="21">
        <v>1</v>
      </c>
      <c r="V20" s="29">
        <v>7</v>
      </c>
      <c r="W20" s="21">
        <v>1</v>
      </c>
      <c r="X20" s="31">
        <v>2</v>
      </c>
      <c r="Y20" s="23"/>
      <c r="Z20" s="24" t="s">
        <v>123</v>
      </c>
      <c r="AA20" s="23" t="s">
        <v>124</v>
      </c>
      <c r="AB20" s="23" t="s">
        <v>125</v>
      </c>
      <c r="AC20" s="23"/>
      <c r="AD20" s="23"/>
    </row>
    <row r="21" spans="1:46" ht="122" customHeight="1">
      <c r="A21" s="27" t="s">
        <v>72</v>
      </c>
      <c r="B21" s="27" t="s">
        <v>126</v>
      </c>
      <c r="C21" s="27" t="s">
        <v>127</v>
      </c>
      <c r="D21" s="26" t="s">
        <v>47</v>
      </c>
      <c r="E21" s="27">
        <v>70</v>
      </c>
      <c r="F21" s="27">
        <v>1861.2</v>
      </c>
      <c r="G21" s="27">
        <v>2571.6</v>
      </c>
      <c r="H21" s="27">
        <v>180012</v>
      </c>
      <c r="I21" s="27">
        <f>J21*E21+H21-E21*F21</f>
        <v>59738</v>
      </c>
      <c r="J21" s="27">
        <v>143</v>
      </c>
      <c r="K21" s="28">
        <f>J21*E21/12</f>
        <v>834.16666666666663</v>
      </c>
      <c r="L21" s="27" t="s">
        <v>48</v>
      </c>
      <c r="M21" s="27" t="s">
        <v>75</v>
      </c>
      <c r="N21" s="27" t="s">
        <v>63</v>
      </c>
      <c r="O21" s="23" t="s">
        <v>64</v>
      </c>
      <c r="P21" s="23" t="s">
        <v>105</v>
      </c>
      <c r="Q21" s="30">
        <v>2</v>
      </c>
      <c r="R21" s="20">
        <v>4</v>
      </c>
      <c r="S21" s="31">
        <v>2</v>
      </c>
      <c r="T21" s="32">
        <v>5</v>
      </c>
      <c r="U21" s="31">
        <v>2</v>
      </c>
      <c r="V21" s="22">
        <v>3</v>
      </c>
      <c r="W21" s="21">
        <v>1</v>
      </c>
      <c r="X21" s="22">
        <v>3</v>
      </c>
      <c r="Y21" s="23" t="s">
        <v>115</v>
      </c>
      <c r="Z21" s="24" t="s">
        <v>128</v>
      </c>
      <c r="AA21" s="23" t="s">
        <v>129</v>
      </c>
      <c r="AB21" s="23" t="s">
        <v>125</v>
      </c>
      <c r="AC21" s="23" t="s">
        <v>130</v>
      </c>
      <c r="AD21" s="23" t="s">
        <v>131</v>
      </c>
    </row>
    <row r="22" spans="1:46" ht="95" customHeight="1">
      <c r="A22" s="27" t="s">
        <v>72</v>
      </c>
      <c r="B22" s="27" t="s">
        <v>132</v>
      </c>
      <c r="C22" s="27" t="s">
        <v>133</v>
      </c>
      <c r="D22" s="26" t="s">
        <v>134</v>
      </c>
      <c r="E22" s="27">
        <v>135</v>
      </c>
      <c r="F22" s="27">
        <v>1163</v>
      </c>
      <c r="G22" s="27">
        <v>1347</v>
      </c>
      <c r="H22" s="27">
        <v>181845</v>
      </c>
      <c r="I22" s="27">
        <f>J22*E22+H22-E22*F22</f>
        <v>45090</v>
      </c>
      <c r="J22" s="27">
        <v>150</v>
      </c>
      <c r="K22" s="28">
        <f>J22*E22/12</f>
        <v>1687.5</v>
      </c>
      <c r="L22" s="27" t="s">
        <v>48</v>
      </c>
      <c r="M22" s="27" t="s">
        <v>75</v>
      </c>
      <c r="N22" s="27" t="s">
        <v>40</v>
      </c>
      <c r="O22" s="23" t="s">
        <v>135</v>
      </c>
      <c r="P22" s="23" t="s">
        <v>136</v>
      </c>
      <c r="Q22" s="31">
        <v>2</v>
      </c>
      <c r="R22" s="21">
        <v>1</v>
      </c>
      <c r="S22" s="31">
        <v>2</v>
      </c>
      <c r="T22" s="31">
        <v>2</v>
      </c>
      <c r="U22" s="20">
        <v>4</v>
      </c>
      <c r="V22" s="32">
        <v>5</v>
      </c>
      <c r="W22" s="21">
        <v>1</v>
      </c>
      <c r="X22" s="22">
        <v>3</v>
      </c>
      <c r="Y22" s="23" t="s">
        <v>137</v>
      </c>
      <c r="Z22" s="24" t="s">
        <v>138</v>
      </c>
      <c r="AA22" s="23" t="s">
        <v>139</v>
      </c>
      <c r="AB22" s="23" t="s">
        <v>125</v>
      </c>
      <c r="AC22" s="23" t="s">
        <v>140</v>
      </c>
      <c r="AD22" s="23" t="s">
        <v>141</v>
      </c>
    </row>
    <row r="23" spans="1:46" ht="84" customHeight="1">
      <c r="A23" s="27" t="s">
        <v>72</v>
      </c>
      <c r="B23" s="27" t="s">
        <v>142</v>
      </c>
      <c r="C23" s="27" t="s">
        <v>133</v>
      </c>
      <c r="D23" s="26" t="s">
        <v>134</v>
      </c>
      <c r="E23" s="27">
        <v>135</v>
      </c>
      <c r="F23" s="27">
        <v>1163</v>
      </c>
      <c r="G23" s="27">
        <v>1347</v>
      </c>
      <c r="H23" s="27">
        <v>181845</v>
      </c>
      <c r="I23" s="27">
        <f>J23*E23+H23-E23*F23</f>
        <v>46386</v>
      </c>
      <c r="J23" s="27">
        <v>159.6</v>
      </c>
      <c r="K23" s="28">
        <f>J23*E23/12</f>
        <v>1795.5</v>
      </c>
      <c r="L23" s="27" t="s">
        <v>48</v>
      </c>
      <c r="M23" s="27" t="s">
        <v>75</v>
      </c>
      <c r="N23" s="27" t="s">
        <v>40</v>
      </c>
      <c r="O23" s="23" t="s">
        <v>135</v>
      </c>
      <c r="P23" s="23" t="s">
        <v>143</v>
      </c>
      <c r="Q23" s="31">
        <v>2</v>
      </c>
      <c r="R23" s="21">
        <v>1</v>
      </c>
      <c r="S23" s="31">
        <v>2</v>
      </c>
      <c r="T23" s="31">
        <v>2</v>
      </c>
      <c r="U23" s="20">
        <v>4</v>
      </c>
      <c r="V23" s="32">
        <v>5</v>
      </c>
      <c r="W23" s="21">
        <v>1</v>
      </c>
      <c r="X23" s="22">
        <v>3</v>
      </c>
      <c r="Y23" s="23" t="s">
        <v>137</v>
      </c>
      <c r="Z23" s="24" t="s">
        <v>144</v>
      </c>
      <c r="AA23" s="23" t="s">
        <v>139</v>
      </c>
      <c r="AB23" s="23" t="s">
        <v>125</v>
      </c>
      <c r="AC23" s="23" t="s">
        <v>145</v>
      </c>
      <c r="AD23" s="23" t="s">
        <v>146</v>
      </c>
    </row>
    <row r="24" spans="1:46" ht="202.5" customHeight="1">
      <c r="A24" s="27" t="s">
        <v>72</v>
      </c>
      <c r="B24" s="27" t="s">
        <v>147</v>
      </c>
      <c r="C24" s="27" t="s">
        <v>148</v>
      </c>
      <c r="D24" s="26" t="s">
        <v>47</v>
      </c>
      <c r="E24" s="27">
        <v>65</v>
      </c>
      <c r="F24" s="27">
        <v>5985</v>
      </c>
      <c r="G24" s="27">
        <v>6282</v>
      </c>
      <c r="H24" s="27">
        <v>408330</v>
      </c>
      <c r="I24" s="27">
        <f>J24*E24+H24-E24*F24</f>
        <v>58305</v>
      </c>
      <c r="J24" s="27">
        <v>600</v>
      </c>
      <c r="K24" s="28">
        <f>J24*E24/12</f>
        <v>3250</v>
      </c>
      <c r="L24" s="27" t="s">
        <v>149</v>
      </c>
      <c r="M24" s="27" t="s">
        <v>75</v>
      </c>
      <c r="N24" s="27" t="s">
        <v>150</v>
      </c>
      <c r="O24" s="23" t="s">
        <v>64</v>
      </c>
      <c r="P24" s="23" t="s">
        <v>151</v>
      </c>
      <c r="Q24" s="22">
        <v>3</v>
      </c>
      <c r="R24" s="31">
        <v>2</v>
      </c>
      <c r="S24" s="31">
        <v>2</v>
      </c>
      <c r="T24" s="30">
        <v>4</v>
      </c>
      <c r="U24" s="20">
        <v>4</v>
      </c>
      <c r="V24" s="31">
        <v>2</v>
      </c>
      <c r="W24" s="29">
        <v>5</v>
      </c>
      <c r="X24" s="31">
        <v>2</v>
      </c>
      <c r="Y24" s="23" t="s">
        <v>152</v>
      </c>
      <c r="Z24" s="24" t="s">
        <v>153</v>
      </c>
      <c r="AA24" s="23" t="s">
        <v>154</v>
      </c>
      <c r="AB24" s="23" t="s">
        <v>100</v>
      </c>
      <c r="AC24" s="23" t="s">
        <v>155</v>
      </c>
      <c r="AD24" s="23" t="s">
        <v>156</v>
      </c>
    </row>
    <row r="25" spans="1:46" ht="59.15" customHeight="1">
      <c r="A25" s="27" t="s">
        <v>72</v>
      </c>
      <c r="B25" s="27" t="s">
        <v>120</v>
      </c>
      <c r="D25" s="26" t="s">
        <v>109</v>
      </c>
      <c r="E25" s="27">
        <v>484</v>
      </c>
      <c r="F25" s="27">
        <v>11.3</v>
      </c>
      <c r="G25" s="27">
        <v>11.3</v>
      </c>
      <c r="H25" s="27">
        <f>E25*G25</f>
        <v>5469.2000000000007</v>
      </c>
      <c r="K25" s="28"/>
      <c r="L25" s="27" t="s">
        <v>38</v>
      </c>
      <c r="M25" s="27" t="s">
        <v>48</v>
      </c>
      <c r="N25" s="27" t="s">
        <v>122</v>
      </c>
      <c r="Y25" s="23"/>
      <c r="Z25" s="24"/>
      <c r="AA25" s="23" t="s">
        <v>157</v>
      </c>
      <c r="AC25" s="23"/>
      <c r="AD25" s="23"/>
    </row>
    <row r="26" spans="1:46" ht="26.15" customHeight="1">
      <c r="A26" s="27" t="s">
        <v>158</v>
      </c>
      <c r="B26" s="27" t="s">
        <v>159</v>
      </c>
      <c r="D26" s="26" t="s">
        <v>160</v>
      </c>
      <c r="E26" s="27">
        <v>4.5460840000000002E-2</v>
      </c>
      <c r="F26" s="27">
        <v>3490.2</v>
      </c>
      <c r="G26" s="27">
        <v>2374</v>
      </c>
      <c r="H26" s="27">
        <f>E26*G26*L32</f>
        <v>8633.9227327999997</v>
      </c>
      <c r="I26" s="27">
        <v>0</v>
      </c>
      <c r="K26" s="28"/>
      <c r="L26" s="27" t="s">
        <v>161</v>
      </c>
      <c r="M26" s="27" t="s">
        <v>162</v>
      </c>
      <c r="N26" s="27" t="s">
        <v>163</v>
      </c>
      <c r="O26" s="23" t="s">
        <v>164</v>
      </c>
      <c r="P26" s="23" t="s">
        <v>165</v>
      </c>
      <c r="R26" s="27">
        <v>1</v>
      </c>
      <c r="S26" s="27">
        <v>6</v>
      </c>
      <c r="Y26" s="23"/>
      <c r="Z26" s="24"/>
      <c r="AA26" s="23" t="s">
        <v>166</v>
      </c>
      <c r="AB26" s="23" t="s">
        <v>167</v>
      </c>
      <c r="AC26" s="23"/>
      <c r="AD26" s="23"/>
    </row>
    <row r="27" spans="1:46" ht="26.5" customHeight="1">
      <c r="A27" s="27" t="s">
        <v>158</v>
      </c>
      <c r="B27" s="27" t="s">
        <v>168</v>
      </c>
      <c r="D27" s="26" t="s">
        <v>160</v>
      </c>
      <c r="E27" s="27">
        <v>0.40959000000000001</v>
      </c>
      <c r="F27" s="27">
        <v>168.1</v>
      </c>
      <c r="G27" s="27">
        <v>127.1</v>
      </c>
      <c r="H27" s="27">
        <f>E27*G27*L32</f>
        <v>4164.7111199999999</v>
      </c>
      <c r="I27" s="27">
        <v>0</v>
      </c>
      <c r="K27" s="28"/>
      <c r="L27" s="27" t="s">
        <v>161</v>
      </c>
      <c r="M27" s="27" t="s">
        <v>162</v>
      </c>
      <c r="N27" s="27" t="s">
        <v>163</v>
      </c>
      <c r="O27" s="23" t="s">
        <v>164</v>
      </c>
      <c r="P27" s="23" t="s">
        <v>165</v>
      </c>
      <c r="R27" s="27">
        <v>1</v>
      </c>
      <c r="S27" s="27">
        <v>7</v>
      </c>
      <c r="Y27" s="23"/>
      <c r="Z27" s="24"/>
      <c r="AA27" s="23" t="s">
        <v>157</v>
      </c>
      <c r="AB27" s="23" t="s">
        <v>167</v>
      </c>
      <c r="AC27" s="23"/>
      <c r="AD27" s="23"/>
    </row>
    <row r="28" spans="1:46" ht="25" customHeight="1">
      <c r="A28" s="27" t="s">
        <v>158</v>
      </c>
      <c r="B28" s="27" t="s">
        <v>169</v>
      </c>
      <c r="D28" s="26" t="s">
        <v>160</v>
      </c>
      <c r="E28" s="27">
        <v>2.2864700000000001E-3</v>
      </c>
      <c r="G28" s="27">
        <v>107000</v>
      </c>
      <c r="H28" s="27">
        <f>E28*G28*L32</f>
        <v>19572.183200000003</v>
      </c>
      <c r="I28" s="27">
        <v>0</v>
      </c>
      <c r="K28" s="28"/>
      <c r="L28" s="27" t="s">
        <v>161</v>
      </c>
      <c r="M28" s="27" t="s">
        <v>162</v>
      </c>
      <c r="N28" s="27" t="s">
        <v>163</v>
      </c>
      <c r="O28" s="23" t="s">
        <v>164</v>
      </c>
      <c r="P28" s="23" t="s">
        <v>170</v>
      </c>
      <c r="R28" s="27">
        <v>1</v>
      </c>
      <c r="S28" s="27">
        <v>7</v>
      </c>
      <c r="Y28" s="23"/>
      <c r="Z28" s="24"/>
      <c r="AA28" s="23" t="s">
        <v>166</v>
      </c>
      <c r="AB28" s="23" t="s">
        <v>167</v>
      </c>
      <c r="AC28" s="23"/>
      <c r="AD28" s="23"/>
      <c r="AS28" s="4"/>
      <c r="AT28" s="4"/>
    </row>
    <row r="29" spans="1:46" ht="24" customHeight="1">
      <c r="A29" s="27" t="s">
        <v>158</v>
      </c>
      <c r="B29" s="27" t="s">
        <v>171</v>
      </c>
      <c r="D29" s="26" t="s">
        <v>160</v>
      </c>
      <c r="E29" s="27">
        <v>5.9939999999999998</v>
      </c>
      <c r="G29" s="27">
        <v>4.0442999999999998</v>
      </c>
      <c r="H29" s="27">
        <f>E29*G29*L32</f>
        <v>1939.3227359999996</v>
      </c>
      <c r="K29" s="28"/>
      <c r="L29" s="27" t="s">
        <v>161</v>
      </c>
      <c r="M29" s="27" t="s">
        <v>162</v>
      </c>
      <c r="N29" s="27" t="s">
        <v>163</v>
      </c>
      <c r="O29" s="23" t="s">
        <v>164</v>
      </c>
      <c r="P29" s="23" t="s">
        <v>165</v>
      </c>
      <c r="R29" s="27">
        <v>1</v>
      </c>
      <c r="S29" s="27">
        <v>7</v>
      </c>
      <c r="Y29" s="23"/>
      <c r="Z29" s="24"/>
      <c r="AA29" s="23" t="s">
        <v>157</v>
      </c>
      <c r="AB29" s="23" t="s">
        <v>167</v>
      </c>
      <c r="AC29" s="23"/>
      <c r="AD29" s="23"/>
    </row>
    <row r="30" spans="1:46" s="4" customFormat="1" ht="24" customHeight="1">
      <c r="A30" s="4" t="s">
        <v>158</v>
      </c>
      <c r="B30" s="4" t="s">
        <v>172</v>
      </c>
      <c r="D30" s="3" t="s">
        <v>160</v>
      </c>
      <c r="E30" s="4">
        <v>6.8135000000000003</v>
      </c>
      <c r="G30" s="4">
        <v>5</v>
      </c>
      <c r="H30" s="4">
        <f>E30*G30*L32</f>
        <v>2725.4</v>
      </c>
      <c r="K30" s="16"/>
      <c r="L30" s="4" t="s">
        <v>161</v>
      </c>
      <c r="M30" s="4" t="s">
        <v>162</v>
      </c>
      <c r="N30" s="4" t="s">
        <v>163</v>
      </c>
      <c r="O30" s="11" t="s">
        <v>164</v>
      </c>
      <c r="P30" s="11" t="s">
        <v>165</v>
      </c>
      <c r="R30" s="4">
        <v>1</v>
      </c>
      <c r="S30" s="4">
        <v>7</v>
      </c>
      <c r="Z30" s="19"/>
      <c r="AA30" s="11" t="s">
        <v>157</v>
      </c>
      <c r="AB30" s="11" t="s">
        <v>167</v>
      </c>
      <c r="AC30" s="11"/>
      <c r="AD30" s="11"/>
      <c r="AS30" s="27"/>
      <c r="AT30" s="27"/>
    </row>
    <row r="31" spans="1:46">
      <c r="AC31" s="23"/>
      <c r="AD31" s="23"/>
    </row>
    <row r="32" spans="1:46">
      <c r="K32" s="7" t="s">
        <v>173</v>
      </c>
      <c r="L32" s="27">
        <v>80</v>
      </c>
      <c r="M32" s="7"/>
      <c r="N32" s="7"/>
      <c r="AA32" s="18"/>
      <c r="AB32" s="18"/>
      <c r="AC32" s="23"/>
      <c r="AD32" s="23"/>
    </row>
    <row r="33" spans="2:12">
      <c r="K33" s="27">
        <f>SUM(K4:K29)*0.87</f>
        <v>16716.691849999999</v>
      </c>
      <c r="L33" s="27">
        <v>11.3</v>
      </c>
    </row>
    <row r="34" spans="2:12">
      <c r="B34" s="7" t="s">
        <v>174</v>
      </c>
      <c r="C34" s="7"/>
      <c r="D34" s="8"/>
      <c r="L34" s="27" t="e">
        <f>SUM(H5:H30)</f>
        <v>#VALUE!</v>
      </c>
    </row>
    <row r="35" spans="2:12">
      <c r="B35" s="8" t="s">
        <v>175</v>
      </c>
      <c r="C35" s="8"/>
      <c r="D35" s="8"/>
    </row>
    <row r="36" spans="2:12">
      <c r="B36" s="8" t="s">
        <v>176</v>
      </c>
      <c r="C36" s="8"/>
      <c r="D36" s="8"/>
    </row>
    <row r="37" spans="2:12">
      <c r="B37" s="8" t="s">
        <v>177</v>
      </c>
      <c r="C37" s="8"/>
      <c r="D37" s="8"/>
    </row>
    <row r="38" spans="2:12">
      <c r="B38" s="8" t="s">
        <v>178</v>
      </c>
      <c r="C38" s="8"/>
      <c r="D38" s="8"/>
    </row>
    <row r="39" spans="2:12">
      <c r="B39" s="8" t="s">
        <v>179</v>
      </c>
      <c r="C39" s="8"/>
      <c r="D39" s="8"/>
    </row>
    <row r="40" spans="2:12">
      <c r="B40" s="8" t="s">
        <v>180</v>
      </c>
      <c r="C40" s="8"/>
      <c r="D40" s="8"/>
    </row>
    <row r="41" spans="2:12">
      <c r="B41" s="8" t="s">
        <v>181</v>
      </c>
      <c r="C41" s="8"/>
      <c r="D41" s="8"/>
    </row>
    <row r="42" spans="2:12">
      <c r="B42" s="8" t="s">
        <v>182</v>
      </c>
      <c r="C42" s="8"/>
      <c r="D42" s="8"/>
    </row>
    <row r="44" spans="2:12">
      <c r="B44" s="6" t="s">
        <v>183</v>
      </c>
      <c r="C44" s="6"/>
    </row>
    <row r="45" spans="2:12">
      <c r="B45" s="27" t="s">
        <v>184</v>
      </c>
      <c r="D45" s="21">
        <v>1</v>
      </c>
    </row>
    <row r="46" spans="2:12">
      <c r="B46" s="27" t="s">
        <v>185</v>
      </c>
      <c r="D46" s="31">
        <v>2</v>
      </c>
    </row>
    <row r="47" spans="2:12">
      <c r="B47" s="27" t="s">
        <v>186</v>
      </c>
      <c r="D47" s="22">
        <v>3</v>
      </c>
    </row>
    <row r="48" spans="2:12">
      <c r="B48" s="27" t="s">
        <v>187</v>
      </c>
      <c r="D48" s="20">
        <v>4</v>
      </c>
    </row>
    <row r="49" spans="2:4">
      <c r="B49" s="27" t="s">
        <v>188</v>
      </c>
      <c r="D49" s="32">
        <v>5</v>
      </c>
    </row>
    <row r="50" spans="2:4">
      <c r="B50" s="27" t="s">
        <v>189</v>
      </c>
      <c r="D50" s="30">
        <v>6</v>
      </c>
    </row>
    <row r="51" spans="2:4">
      <c r="B51" s="27" t="s">
        <v>190</v>
      </c>
      <c r="D51" s="29">
        <v>7</v>
      </c>
    </row>
  </sheetData>
  <mergeCells count="58">
    <mergeCell ref="AC2:AC3"/>
    <mergeCell ref="L2:N2"/>
    <mergeCell ref="L11:L12"/>
    <mergeCell ref="M14:M17"/>
    <mergeCell ref="AC11:AC12"/>
    <mergeCell ref="N11:N12"/>
    <mergeCell ref="R9:R10"/>
    <mergeCell ref="O2:P2"/>
    <mergeCell ref="Z9:Z10"/>
    <mergeCell ref="AA11:AA12"/>
    <mergeCell ref="M9:M10"/>
    <mergeCell ref="O9:O10"/>
    <mergeCell ref="U9:U10"/>
    <mergeCell ref="R11:R12"/>
    <mergeCell ref="X11:X12"/>
    <mergeCell ref="Z11:Z12"/>
    <mergeCell ref="AB2:AB3"/>
    <mergeCell ref="C11:C12"/>
    <mergeCell ref="AD2:AD3"/>
    <mergeCell ref="V11:V12"/>
    <mergeCell ref="L14:L17"/>
    <mergeCell ref="AB11:AB12"/>
    <mergeCell ref="AD11:AD12"/>
    <mergeCell ref="W11:W12"/>
    <mergeCell ref="T11:T12"/>
    <mergeCell ref="W9:W10"/>
    <mergeCell ref="L9:L10"/>
    <mergeCell ref="AC9:AC10"/>
    <mergeCell ref="Z14:Z17"/>
    <mergeCell ref="N9:N10"/>
    <mergeCell ref="O11:O12"/>
    <mergeCell ref="X9:X10"/>
    <mergeCell ref="Q2:Z2"/>
    <mergeCell ref="Y11:Y12"/>
    <mergeCell ref="J11:J12"/>
    <mergeCell ref="P11:P12"/>
    <mergeCell ref="T9:T10"/>
    <mergeCell ref="V9:V10"/>
    <mergeCell ref="Q9:Q10"/>
    <mergeCell ref="D2:K2"/>
    <mergeCell ref="S9:S10"/>
    <mergeCell ref="Q11:Q12"/>
    <mergeCell ref="G9:G10"/>
    <mergeCell ref="G11:G12"/>
    <mergeCell ref="P9:P10"/>
    <mergeCell ref="J9:J10"/>
    <mergeCell ref="M11:M12"/>
    <mergeCell ref="B11:B12"/>
    <mergeCell ref="AB9:AB10"/>
    <mergeCell ref="C9:C10"/>
    <mergeCell ref="B9:B10"/>
    <mergeCell ref="S11:S12"/>
    <mergeCell ref="U11:U12"/>
    <mergeCell ref="Y9:Y10"/>
    <mergeCell ref="AD14:AD17"/>
    <mergeCell ref="AA9:AA10"/>
    <mergeCell ref="AC14:AC17"/>
    <mergeCell ref="AD9:AD10"/>
  </mergeCells>
  <conditionalFormatting sqref="D45:D51">
    <cfRule type="colorScale" priority="24">
      <colorScale>
        <cfvo type="min"/>
        <cfvo type="max"/>
        <color rgb="FFFCFCFF"/>
        <color rgb="FF63BE7B"/>
      </colorScale>
    </cfRule>
  </conditionalFormatting>
  <conditionalFormatting sqref="D45:D52">
    <cfRule type="colorScale" priority="18">
      <colorScale>
        <cfvo type="min"/>
        <cfvo type="max"/>
        <color rgb="FFFCFCFF"/>
        <color rgb="FF63BE7B"/>
      </colorScale>
    </cfRule>
  </conditionalFormatting>
  <conditionalFormatting sqref="O23:X23 Z23">
    <cfRule type="colorScale" priority="81">
      <colorScale>
        <cfvo type="min"/>
        <cfvo type="max"/>
        <color rgb="FFFCFCFF"/>
        <color rgb="FF63BE7B"/>
      </colorScale>
    </cfRule>
  </conditionalFormatting>
  <conditionalFormatting sqref="Q4:X4 Q9:X9 Q11:X11 Q13:X17 Q19:X22 Q24:X24">
    <cfRule type="colorScale" priority="84">
      <colorScale>
        <cfvo type="min"/>
        <cfvo type="percentile" val="50"/>
        <cfvo type="max"/>
        <color rgb="FFF8696B"/>
        <color rgb="FFFCFCFF"/>
        <color rgb="FF63BE7B"/>
      </colorScale>
    </cfRule>
  </conditionalFormatting>
  <conditionalFormatting sqref="Q4:X4 Q9:X9 Q11:X11 Q13:X17 Q19:X22 Q24:X29 Q30:Y30">
    <cfRule type="colorScale" priority="90">
      <colorScale>
        <cfvo type="min"/>
        <cfvo type="max"/>
        <color rgb="FFFCFCFF"/>
        <color rgb="FF63BE7B"/>
      </colorScale>
    </cfRule>
  </conditionalFormatting>
  <conditionalFormatting sqref="Q18:X18">
    <cfRule type="colorScale" priority="96">
      <colorScale>
        <cfvo type="min"/>
        <cfvo type="percentile" val="50"/>
        <cfvo type="max"/>
        <color rgb="FFF8696B"/>
        <color rgb="FFFCFCFF"/>
        <color rgb="FF63BE7B"/>
      </colorScale>
    </cfRule>
    <cfRule type="colorScale" priority="98">
      <colorScale>
        <cfvo type="min"/>
        <cfvo type="max"/>
        <color rgb="FFFCFCFF"/>
        <color rgb="FF63BE7B"/>
      </colorScale>
    </cfRule>
  </conditionalFormatting>
  <conditionalFormatting sqref="O4:X4 O5:P8 O9:X9 O11:X11 O13:X22 O24:X29 O30:Z30 Z4:Z8 Z13:Z14 Z18:Z21 Z24:Z29">
    <cfRule type="colorScale" priority="100">
      <colorScale>
        <cfvo type="min"/>
        <cfvo type="max"/>
        <color rgb="FFFCFCFF"/>
        <color rgb="FF63BE7B"/>
      </colorScale>
    </cfRule>
  </conditionalFormatting>
  <conditionalFormatting sqref="Q23:X23">
    <cfRule type="colorScale" priority="104">
      <colorScale>
        <cfvo type="min"/>
        <cfvo type="percentile" val="50"/>
        <cfvo type="max"/>
        <color rgb="FFF8696B"/>
        <color rgb="FFFCFCFF"/>
        <color rgb="FF63BE7B"/>
      </colorScale>
    </cfRule>
    <cfRule type="colorScale" priority="106">
      <colorScale>
        <cfvo type="min"/>
        <cfvo type="max"/>
        <color rgb="FFFCFCFF"/>
        <color rgb="FF63BE7B"/>
      </colorScale>
    </cfRule>
  </conditionalFormatting>
  <conditionalFormatting sqref="Y23">
    <cfRule type="colorScale" priority="11">
      <colorScale>
        <cfvo type="min"/>
        <cfvo type="max"/>
        <color rgb="FFFCFCFF"/>
        <color rgb="FF63BE7B"/>
      </colorScale>
    </cfRule>
  </conditionalFormatting>
  <conditionalFormatting sqref="Z22">
    <cfRule type="colorScale" priority="7">
      <colorScale>
        <cfvo type="min"/>
        <cfvo type="max"/>
        <color rgb="FFFCFCFF"/>
        <color rgb="FF63BE7B"/>
      </colorScale>
    </cfRule>
  </conditionalFormatting>
  <conditionalFormatting sqref="Z11 Z9">
    <cfRule type="colorScale" priority="5">
      <colorScale>
        <cfvo type="min"/>
        <cfvo type="max"/>
        <color rgb="FFFCFCFF"/>
        <color rgb="FF63BE7B"/>
      </colorScale>
    </cfRule>
  </conditionalFormatting>
  <conditionalFormatting sqref="Q5:X8">
    <cfRule type="colorScale" priority="3">
      <colorScale>
        <cfvo type="min"/>
        <cfvo type="max"/>
        <color rgb="FFFCFCFF"/>
        <color rgb="FF63BE7B"/>
      </colorScale>
    </cfRule>
  </conditionalFormatting>
  <conditionalFormatting sqref="Q4:X4 Q9:X9 Q11:X11 Q13:X24">
    <cfRule type="colorScale" priority="189">
      <colorScale>
        <cfvo type="min"/>
        <cfvo type="max"/>
        <color rgb="FFFCFCFF"/>
        <color rgb="FF63BE7B"/>
      </colorScale>
    </cfRule>
  </conditionalFormatting>
  <conditionalFormatting sqref="Q9:X11 Q13:X24">
    <cfRule type="colorScale" priority="194">
      <colorScale>
        <cfvo type="min"/>
        <cfvo type="max"/>
        <color rgb="FF63BE7B"/>
        <color rgb="FFFFEF9C"/>
      </colorScale>
    </cfRule>
  </conditionalFormatting>
  <conditionalFormatting sqref="Y4:Y9 Y11 Y13:Y22 Y24:Y29">
    <cfRule type="colorScale" priority="214">
      <colorScale>
        <cfvo type="min"/>
        <cfvo type="max"/>
        <color rgb="FFFCFCFF"/>
        <color rgb="FF63BE7B"/>
      </colorScale>
    </cfRule>
  </conditionalFormatting>
  <conditionalFormatting sqref="Q4:X11 Q13:X30">
    <cfRule type="colorScale" priority="219">
      <colorScale>
        <cfvo type="min"/>
        <cfvo type="max"/>
        <color rgb="FFFCFCFF"/>
        <color rgb="FF63BE7B"/>
      </colorScale>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24" sqref="F24"/>
    </sheetView>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Speculative</vt:lpstr>
      <vt:lpstr>Deposit</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 Aleksandrov</dc:creator>
  <cp:lastModifiedBy>Ilya Aleksandrov</cp:lastModifiedBy>
  <dcterms:created xsi:type="dcterms:W3CDTF">2024-09-02T17:51:38Z</dcterms:created>
  <dcterms:modified xsi:type="dcterms:W3CDTF">2026-01-15T15:24:17Z</dcterms:modified>
</cp:coreProperties>
</file>